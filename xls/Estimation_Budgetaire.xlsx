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urs Diginamic_EISI\CDCT_PIlotage\Rendu\Rendu_Git\tableaux\"/>
    </mc:Choice>
  </mc:AlternateContent>
  <xr:revisionPtr revIDLastSave="0" documentId="8_{DBF353E1-CC2B-4D4C-A83F-36A242615B2E}" xr6:coauthVersionLast="47" xr6:coauthVersionMax="47" xr10:uidLastSave="{00000000-0000-0000-0000-000000000000}"/>
  <bookViews>
    <workbookView xWindow="-120" yWindow="-120" windowWidth="29040" windowHeight="15720" xr2:uid="{3B2240B4-0977-491C-83B2-B39266BA679F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9" i="1" l="1"/>
  <c r="I26" i="1"/>
  <c r="I22" i="1"/>
  <c r="I13" i="1"/>
  <c r="I30" i="1" l="1"/>
  <c r="I31" i="1" s="1"/>
</calcChain>
</file>

<file path=xl/sharedStrings.xml><?xml version="1.0" encoding="utf-8"?>
<sst xmlns="http://schemas.openxmlformats.org/spreadsheetml/2006/main" count="51" uniqueCount="45">
  <si>
    <t>ESTIMATION BUDGETAIRE</t>
  </si>
  <si>
    <t>Poste</t>
  </si>
  <si>
    <t>Quantité</t>
  </si>
  <si>
    <t>Coût unitaire</t>
  </si>
  <si>
    <t>Coût total (€)</t>
  </si>
  <si>
    <t>Ressources Humaines</t>
  </si>
  <si>
    <t>Développeurs (x3)</t>
  </si>
  <si>
    <t>75 j x3</t>
  </si>
  <si>
    <t>300 €/j</t>
  </si>
  <si>
    <t>Chef de projet</t>
  </si>
  <si>
    <t>37,5 j</t>
  </si>
  <si>
    <t>350 €/j</t>
  </si>
  <si>
    <t>Total Ressources Humaines</t>
  </si>
  <si>
    <t>Infrastructure</t>
  </si>
  <si>
    <t>VM Backend (4 vCPU / 8 Go RAM)</t>
  </si>
  <si>
    <t>15 mois</t>
  </si>
  <si>
    <t>40 €/mois</t>
  </si>
  <si>
    <t>VM Base de données (4 vCPU / 16 Go RAM)</t>
  </si>
  <si>
    <t>80 €/mois</t>
  </si>
  <si>
    <t>Stockage supplémentaire (snapshots + backups)</t>
  </si>
  <si>
    <t>20 €/mois</t>
  </si>
  <si>
    <t>Réseau / IP / trafic</t>
  </si>
  <si>
    <t>5 €/mois</t>
  </si>
  <si>
    <t>Monitoring (Prometheus/Grafana hébergé)</t>
  </si>
  <si>
    <t>10 €/mois</t>
  </si>
  <si>
    <t>RabbitMQ</t>
  </si>
  <si>
    <t>-</t>
  </si>
  <si>
    <t>Inclus</t>
  </si>
  <si>
    <t>Nom de domaine</t>
  </si>
  <si>
    <t>1 an</t>
  </si>
  <si>
    <t>15 €</t>
  </si>
  <si>
    <t>Total Infrastructure</t>
  </si>
  <si>
    <t>Licences Outils</t>
  </si>
  <si>
    <t>Jira (≤10 utilisateurs)</t>
  </si>
  <si>
    <t>4 utilisateurs (équipe)</t>
  </si>
  <si>
    <t>GRATUIT</t>
  </si>
  <si>
    <t>GitHub Actions (≤2000 min/mois)</t>
  </si>
  <si>
    <t>Usage projet</t>
  </si>
  <si>
    <t>Total Outils</t>
  </si>
  <si>
    <t>Formation</t>
  </si>
  <si>
    <t>Formation utilisateurs</t>
  </si>
  <si>
    <t>4 pers x 2 jours</t>
  </si>
  <si>
    <t>Total Formation</t>
  </si>
  <si>
    <t>Risques (10%)</t>
  </si>
  <si>
    <t>Total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</si>
</sst>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1F1D-676F-46EC-A1CA-34A40ADEA67E}">
  <dimension ref="F8:I31"/>
  <sheetViews>
    <sheetView tabSelected="1" workbookViewId="0">
      <selection activeCell="L20" sqref="L20"/>
    </sheetView>
  </sheetViews>
  <sheetFormatPr baseColWidth="10" defaultRowHeight="15" x14ac:dyDescent="0.25"/>
  <cols>
    <col min="6" max="6" width="44" bestFit="1" customWidth="1"/>
    <col min="7" max="7" width="37.42578125" customWidth="1"/>
    <col min="8" max="8" width="28.140625" customWidth="1"/>
    <col min="9" max="9" width="28.85546875" customWidth="1"/>
  </cols>
  <sheetData>
    <row r="8" spans="6:9" x14ac:dyDescent="0.25">
      <c r="F8" s="1" t="s">
        <v>0</v>
      </c>
      <c r="G8" s="2"/>
      <c r="H8" s="2"/>
      <c r="I8" s="2"/>
    </row>
    <row r="9" spans="6:9" x14ac:dyDescent="0.25">
      <c r="F9" s="3" t="s">
        <v>1</v>
      </c>
      <c r="G9" s="3" t="s">
        <v>2</v>
      </c>
      <c r="H9" s="3" t="s">
        <v>3</v>
      </c>
      <c r="I9" s="3" t="s">
        <v>4</v>
      </c>
    </row>
    <row r="10" spans="6:9" x14ac:dyDescent="0.25">
      <c r="F10" s="4" t="s">
        <v>5</v>
      </c>
      <c r="G10" s="4"/>
      <c r="H10" s="4"/>
      <c r="I10" s="4"/>
    </row>
    <row r="11" spans="6:9" x14ac:dyDescent="0.25">
      <c r="F11" s="5" t="s">
        <v>6</v>
      </c>
      <c r="G11" s="5" t="s">
        <v>7</v>
      </c>
      <c r="H11" s="5" t="s">
        <v>8</v>
      </c>
      <c r="I11" s="5">
        <v>67500</v>
      </c>
    </row>
    <row r="12" spans="6:9" x14ac:dyDescent="0.25">
      <c r="F12" s="5" t="s">
        <v>9</v>
      </c>
      <c r="G12" s="5" t="s">
        <v>10</v>
      </c>
      <c r="H12" s="5" t="s">
        <v>11</v>
      </c>
      <c r="I12" s="5">
        <v>13125</v>
      </c>
    </row>
    <row r="13" spans="6:9" x14ac:dyDescent="0.25">
      <c r="F13" s="6" t="s">
        <v>12</v>
      </c>
      <c r="G13" s="6"/>
      <c r="H13" s="6"/>
      <c r="I13" s="7">
        <f>SUM(I11:I12)</f>
        <v>80625</v>
      </c>
    </row>
    <row r="14" spans="6:9" x14ac:dyDescent="0.25">
      <c r="F14" s="8" t="s">
        <v>13</v>
      </c>
      <c r="G14" s="8"/>
      <c r="H14" s="8"/>
      <c r="I14" s="8"/>
    </row>
    <row r="15" spans="6:9" x14ac:dyDescent="0.25">
      <c r="F15" s="5" t="s">
        <v>14</v>
      </c>
      <c r="G15" s="5" t="s">
        <v>15</v>
      </c>
      <c r="H15" s="5" t="s">
        <v>16</v>
      </c>
      <c r="I15" s="5">
        <v>600</v>
      </c>
    </row>
    <row r="16" spans="6:9" x14ac:dyDescent="0.25">
      <c r="F16" s="5" t="s">
        <v>17</v>
      </c>
      <c r="G16" s="5" t="s">
        <v>15</v>
      </c>
      <c r="H16" s="5" t="s">
        <v>18</v>
      </c>
      <c r="I16" s="5">
        <v>1200</v>
      </c>
    </row>
    <row r="17" spans="6:9" x14ac:dyDescent="0.25">
      <c r="F17" s="5" t="s">
        <v>19</v>
      </c>
      <c r="G17" s="5" t="s">
        <v>15</v>
      </c>
      <c r="H17" s="5" t="s">
        <v>20</v>
      </c>
      <c r="I17" s="5">
        <v>300</v>
      </c>
    </row>
    <row r="18" spans="6:9" x14ac:dyDescent="0.25">
      <c r="F18" s="5" t="s">
        <v>21</v>
      </c>
      <c r="G18" s="5" t="s">
        <v>15</v>
      </c>
      <c r="H18" s="5" t="s">
        <v>22</v>
      </c>
      <c r="I18" s="5">
        <v>75</v>
      </c>
    </row>
    <row r="19" spans="6:9" x14ac:dyDescent="0.25">
      <c r="F19" s="5" t="s">
        <v>23</v>
      </c>
      <c r="G19" s="5" t="s">
        <v>15</v>
      </c>
      <c r="H19" s="5" t="s">
        <v>24</v>
      </c>
      <c r="I19" s="5">
        <v>150</v>
      </c>
    </row>
    <row r="20" spans="6:9" x14ac:dyDescent="0.25">
      <c r="F20" s="5" t="s">
        <v>25</v>
      </c>
      <c r="G20" s="5" t="s">
        <v>26</v>
      </c>
      <c r="H20" s="5" t="s">
        <v>27</v>
      </c>
      <c r="I20" s="5">
        <v>0</v>
      </c>
    </row>
    <row r="21" spans="6:9" x14ac:dyDescent="0.25">
      <c r="F21" s="5" t="s">
        <v>28</v>
      </c>
      <c r="G21" s="5" t="s">
        <v>29</v>
      </c>
      <c r="H21" s="5" t="s">
        <v>30</v>
      </c>
      <c r="I21" s="5">
        <v>15</v>
      </c>
    </row>
    <row r="22" spans="6:9" x14ac:dyDescent="0.25">
      <c r="F22" s="6" t="s">
        <v>31</v>
      </c>
      <c r="G22" s="6"/>
      <c r="H22" s="6"/>
      <c r="I22" s="7">
        <f>SUM(I15:I21)</f>
        <v>2340</v>
      </c>
    </row>
    <row r="23" spans="6:9" x14ac:dyDescent="0.25">
      <c r="F23" s="9" t="s">
        <v>32</v>
      </c>
      <c r="G23" s="9"/>
      <c r="H23" s="9"/>
      <c r="I23" s="9"/>
    </row>
    <row r="24" spans="6:9" x14ac:dyDescent="0.25">
      <c r="F24" s="5" t="s">
        <v>33</v>
      </c>
      <c r="G24" s="5" t="s">
        <v>34</v>
      </c>
      <c r="H24" s="5" t="s">
        <v>35</v>
      </c>
      <c r="I24" s="5">
        <v>0</v>
      </c>
    </row>
    <row r="25" spans="6:9" x14ac:dyDescent="0.25">
      <c r="F25" s="5" t="s">
        <v>36</v>
      </c>
      <c r="G25" s="5" t="s">
        <v>37</v>
      </c>
      <c r="H25" s="5" t="s">
        <v>35</v>
      </c>
      <c r="I25" s="5">
        <v>0</v>
      </c>
    </row>
    <row r="26" spans="6:9" x14ac:dyDescent="0.25">
      <c r="F26" s="6" t="s">
        <v>38</v>
      </c>
      <c r="G26" s="6"/>
      <c r="H26" s="6"/>
      <c r="I26" s="7">
        <f>SUM(I24:I25)</f>
        <v>0</v>
      </c>
    </row>
    <row r="27" spans="6:9" x14ac:dyDescent="0.25">
      <c r="F27" s="10" t="s">
        <v>39</v>
      </c>
      <c r="G27" s="10"/>
      <c r="H27" s="10"/>
      <c r="I27" s="10"/>
    </row>
    <row r="28" spans="6:9" x14ac:dyDescent="0.25">
      <c r="F28" s="11" t="s">
        <v>40</v>
      </c>
      <c r="G28" s="11" t="s">
        <v>41</v>
      </c>
      <c r="H28" s="11" t="s">
        <v>8</v>
      </c>
      <c r="I28" s="5">
        <v>2400</v>
      </c>
    </row>
    <row r="29" spans="6:9" x14ac:dyDescent="0.25">
      <c r="F29" s="6" t="s">
        <v>42</v>
      </c>
      <c r="G29" s="6"/>
      <c r="H29" s="6"/>
      <c r="I29" s="7">
        <f>SUM(I28)</f>
        <v>2400</v>
      </c>
    </row>
    <row r="30" spans="6:9" x14ac:dyDescent="0.25">
      <c r="F30" s="6" t="s">
        <v>43</v>
      </c>
      <c r="G30" s="6"/>
      <c r="H30" s="6"/>
      <c r="I30" s="7">
        <f>0.1*SUM(I13,I22,I26,I29)</f>
        <v>8536.5</v>
      </c>
    </row>
    <row r="31" spans="6:9" x14ac:dyDescent="0.25">
      <c r="F31" s="12" t="s">
        <v>44</v>
      </c>
      <c r="G31" s="12"/>
      <c r="H31" s="12"/>
      <c r="I31" s="13">
        <f>SUM(I13,I22,I30)</f>
        <v>91501.5</v>
      </c>
    </row>
  </sheetData>
  <mergeCells count="11">
    <mergeCell ref="F26:H26"/>
    <mergeCell ref="F27:I27"/>
    <mergeCell ref="F29:H29"/>
    <mergeCell ref="F30:H30"/>
    <mergeCell ref="F31:H31"/>
    <mergeCell ref="F8:I8"/>
    <mergeCell ref="F10:I10"/>
    <mergeCell ref="F13:H13"/>
    <mergeCell ref="F14:I14"/>
    <mergeCell ref="F22:H22"/>
    <mergeCell ref="F23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Pinot</dc:creator>
  <cp:lastModifiedBy>Anthony Pinot</cp:lastModifiedBy>
  <dcterms:created xsi:type="dcterms:W3CDTF">2026-04-23T12:53:21Z</dcterms:created>
  <dcterms:modified xsi:type="dcterms:W3CDTF">2026-04-23T12:54:27Z</dcterms:modified>
</cp:coreProperties>
</file>